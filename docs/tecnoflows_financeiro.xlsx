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📥 Entradas" sheetId="2" state="visible" r:id="rId4"/>
    <sheet name="📤 Saídas" sheetId="3" state="visible" r:id="rId5"/>
    <sheet name="📈 Fluxo Mensal" sheetId="4" state="visible" r:id="rId6"/>
    <sheet name="🔧 Proje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<sst xmlns="http://schemas.openxmlformats.org/spreadsheetml/2006/main" count="169" uniqueCount="106">
  <si>
    <t xml:space="preserve">TecnoFlows  ·  Controle Financeiro</t>
  </si>
  <si>
    <t xml:space="preserve">Fluxo de Caixa — Visão Mensal</t>
  </si>
  <si>
    <t xml:space="preserve">TOTAL ENTRADAS</t>
  </si>
  <si>
    <t xml:space="preserve">TOTAL SAÍDAS</t>
  </si>
  <si>
    <t xml:space="preserve">SALDO DO MÊS</t>
  </si>
  <si>
    <t xml:space="preserve">acumulado do mês</t>
  </si>
  <si>
    <t xml:space="preserve">RESUMO POR CATEGORIA</t>
  </si>
  <si>
    <t xml:space="preserve">Categoria</t>
  </si>
  <si>
    <t xml:space="preserve">Tipo</t>
  </si>
  <si>
    <t xml:space="preserve">Valor (R$)</t>
  </si>
  <si>
    <t xml:space="preserve">% do Total</t>
  </si>
  <si>
    <t xml:space="preserve">Qtd Lançamentos</t>
  </si>
  <si>
    <t xml:space="preserve">Serviços Prestados</t>
  </si>
  <si>
    <t xml:space="preserve">Entrada</t>
  </si>
  <si>
    <t xml:space="preserve">Materiais</t>
  </si>
  <si>
    <t xml:space="preserve">Saída</t>
  </si>
  <si>
    <t xml:space="preserve">Mão de Obra</t>
  </si>
  <si>
    <t xml:space="preserve">Deslocamento</t>
  </si>
  <si>
    <t xml:space="preserve">Ferramentas/EPI</t>
  </si>
  <si>
    <t xml:space="preserve">Impostos/Taxas</t>
  </si>
  <si>
    <t xml:space="preserve">Outros</t>
  </si>
  <si>
    <t xml:space="preserve">—</t>
  </si>
  <si>
    <t xml:space="preserve">TOTAL GERAL</t>
  </si>
  <si>
    <t xml:space="preserve">📥  ENTRADAS</t>
  </si>
  <si>
    <t xml:space="preserve">Total lancado no mes</t>
  </si>
  <si>
    <t xml:space="preserve">Data</t>
  </si>
  <si>
    <t xml:space="preserve">Descrição</t>
  </si>
  <si>
    <t xml:space="preserve">Cliente / Projeto</t>
  </si>
  <si>
    <t xml:space="preserve">Status</t>
  </si>
  <si>
    <t xml:space="preserve">Registrado por</t>
  </si>
  <si>
    <t xml:space="preserve">10/03/2025</t>
  </si>
  <si>
    <t xml:space="preserve">Manutenção preventiva mensal</t>
  </si>
  <si>
    <t xml:space="preserve">Construtora Alfa</t>
  </si>
  <si>
    <t xml:space="preserve">Recebido</t>
  </si>
  <si>
    <t xml:space="preserve">Agente IA</t>
  </si>
  <si>
    <t xml:space="preserve">Instalação 2 splits</t>
  </si>
  <si>
    <t xml:space="preserve">Residencial Beto</t>
  </si>
  <si>
    <t xml:space="preserve">11/03/2025</t>
  </si>
  <si>
    <t xml:space="preserve">Corretiva emergencial</t>
  </si>
  <si>
    <t xml:space="preserve">Farmácia Central</t>
  </si>
  <si>
    <t xml:space="preserve">12/03/2025</t>
  </si>
  <si>
    <t xml:space="preserve">Contrato preventiva trimestral</t>
  </si>
  <si>
    <t xml:space="preserve">Escritório XP</t>
  </si>
  <si>
    <t xml:space="preserve">A receber</t>
  </si>
  <si>
    <t xml:space="preserve">13/03/2025</t>
  </si>
  <si>
    <t xml:space="preserve">Consultoria técnica</t>
  </si>
  <si>
    <t xml:space="preserve">Indústria Omega</t>
  </si>
  <si>
    <t xml:space="preserve">TOTAL</t>
  </si>
  <si>
    <t xml:space="preserve">📤  SAÍDAS</t>
  </si>
  <si>
    <t xml:space="preserve">Total gasto no mês</t>
  </si>
  <si>
    <t xml:space="preserve">Projeto Vinculado</t>
  </si>
  <si>
    <t xml:space="preserve">Forma Pagto</t>
  </si>
  <si>
    <t xml:space="preserve">Comprovante</t>
  </si>
  <si>
    <t xml:space="preserve">Gás R410a 2kg</t>
  </si>
  <si>
    <t xml:space="preserve">PIX</t>
  </si>
  <si>
    <t xml:space="preserve">Filtros e veda-rosca</t>
  </si>
  <si>
    <t xml:space="preserve">Dinheiro</t>
  </si>
  <si>
    <t xml:space="preserve">Diária técnico auxiliar</t>
  </si>
  <si>
    <t xml:space="preserve">Combustível</t>
  </si>
  <si>
    <t xml:space="preserve">Geral</t>
  </si>
  <si>
    <t xml:space="preserve">Cartão</t>
  </si>
  <si>
    <t xml:space="preserve">DAS MEI março</t>
  </si>
  <si>
    <t xml:space="preserve">Débito</t>
  </si>
  <si>
    <t xml:space="preserve">Luvas e óculos de proteção</t>
  </si>
  <si>
    <t xml:space="preserve">📈  FLUXO DE CAIXA — 12 MESES</t>
  </si>
  <si>
    <t xml:space="preserve">Mês</t>
  </si>
  <si>
    <t xml:space="preserve">Entradas (R$)</t>
  </si>
  <si>
    <t xml:space="preserve">Saídas (R$)</t>
  </si>
  <si>
    <t xml:space="preserve">Saldo (R$)</t>
  </si>
  <si>
    <t xml:space="preserve">Jan/25</t>
  </si>
  <si>
    <t xml:space="preserve">Fev/25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</si>
  <si>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</si>
  <si>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</si>
  <si>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</si>
  <si>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</si>
  <si>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</si>
  <si>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</si>
  <si>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Set/25</t>
  </si>
  <si>
    <t xml:space="preserve">Out/25</t>
  </si>
  <si>
    <t xml:space="preserve">Nov/25</t>
  </si>
  <si>
    <t xml:space="preserve">Dez/25</t>
  </si>
  <si>
    <t xml:space="preserve">TOTAL ANUAL</t>
  </si>
  <si>
    <t xml:space="preserve">🔧  CONTROLE DE PROJETOS / ORDENS DE SERVIÇO</t>
  </si>
  <si>
    <t xml:space="preserve">OS #</t>
  </si>
  <si>
    <t xml:space="preserve">Cliente</t>
  </si>
  <si>
    <t xml:space="preserve">Valor Proposta</t>
  </si>
  <si>
    <t xml:space="preserve">Custo Material</t>
  </si>
  <si>
    <t xml:space="preserve">Margem (R$)</t>
  </si>
  <si>
    <t xml:space="preserve">Margem %</t>
  </si>
  <si>
    <t xml:space="preserve">OS-001</t>
  </si>
  <si>
    <t xml:space="preserve">Preventiva mensal 4 splits</t>
  </si>
  <si>
    <t xml:space="preserve">Preventiva</t>
  </si>
  <si>
    <t xml:space="preserve">Concluída</t>
  </si>
  <si>
    <t xml:space="preserve">OS-002</t>
  </si>
  <si>
    <t xml:space="preserve">Instalação 2 splits 12k</t>
  </si>
  <si>
    <t xml:space="preserve">Instalação</t>
  </si>
  <si>
    <t xml:space="preserve">OS-003</t>
  </si>
  <si>
    <t xml:space="preserve">Corretiva — recarga gás</t>
  </si>
  <si>
    <t xml:space="preserve">Corretiva</t>
  </si>
  <si>
    <t xml:space="preserve">OS-004</t>
  </si>
  <si>
    <t xml:space="preserve">Preventiva trimestral</t>
  </si>
  <si>
    <t xml:space="preserve">Em andamento</t>
  </si>
  <si>
    <t xml:space="preserve">OS-005</t>
  </si>
  <si>
    <t xml:space="preserve">Consultoria + laudo</t>
  </si>
  <si>
    <t xml:space="preserve">Consultoria</t>
  </si>
  <si>
    <t xml:space="preserve">Aguardando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</si>
</sst>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DE8FF"/>
      <name val="Arial"/>
      <family val="0"/>
      <charset val="1"/>
    </font>
    <font>
      <sz val="10"/>
      <color rgb="FF6A8A96"/>
      <name val="Arial"/>
      <family val="0"/>
      <charset val="1"/>
    </font>
    <font>
      <sz val="8"/>
      <color rgb="FF6A8A96"/>
      <name val="Arial"/>
      <family val="0"/>
      <charset val="1"/>
    </font>
    <font>
      <b val="true"/>
      <sz val="14"/>
      <color rgb="FF22C55E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b val="true"/>
      <sz val="14"/>
      <color rgb="FF4DE8FF"/>
      <name val="Arial"/>
      <family val="0"/>
      <charset val="1"/>
    </font>
    <font>
      <i val="true"/>
      <sz val="8"/>
      <color rgb="FF6A8A96"/>
      <name val="Arial"/>
      <family val="0"/>
      <charset val="1"/>
    </font>
    <font>
      <b val="true"/>
      <sz val="9"/>
      <color rgb="FF4DE8FF"/>
      <name val="Arial"/>
      <family val="0"/>
      <charset val="1"/>
    </font>
    <font>
      <b val="true"/>
      <sz val="9"/>
      <color rgb="FFE8F4F8"/>
      <name val="Arial"/>
      <family val="0"/>
      <charset val="1"/>
    </font>
    <font>
      <sz val="9"/>
      <color rgb="FFE8F4F8"/>
      <name val="Arial"/>
      <family val="0"/>
      <charset val="1"/>
    </font>
    <font>
      <sz val="9"/>
      <color rgb="FF22C55E"/>
      <name val="Arial"/>
      <family val="0"/>
      <charset val="1"/>
    </font>
    <font>
      <sz val="9"/>
      <color rgb="FF4DE8FF"/>
      <name val="Arial"/>
      <family val="0"/>
      <charset val="1"/>
    </font>
    <font>
      <sz val="9"/>
      <color rgb="FF6A8A96"/>
      <name val="Arial"/>
      <family val="0"/>
      <charset val="1"/>
    </font>
    <font>
      <sz val="9"/>
      <color rgb="FFEF4444"/>
      <name val="Arial"/>
      <family val="0"/>
      <charset val="1"/>
    </font>
    <font>
      <b val="true"/>
      <sz val="18"/>
      <color rgb="FF22C55E"/>
      <name val="Arial"/>
      <family val="0"/>
      <charset val="1"/>
    </font>
    <font>
      <b val="true"/>
      <sz val="9"/>
      <color rgb="FF22C55E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11"/>
      <color rgb="FF4DE8FF"/>
      <name val="Arial"/>
      <family val="0"/>
      <charset val="1"/>
    </font>
    <font>
      <b val="true"/>
      <sz val="18"/>
      <color rgb="FFEF4444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0"/>
      <color rgb="FF4DE8FF"/>
      <name val="Arial"/>
      <family val="0"/>
      <charset val="1"/>
    </font>
    <font>
      <b val="true"/>
      <sz val="9"/>
      <color rgb="FF6A8A9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1318"/>
        <bgColor rgb="FF0A1520"/>
      </patternFill>
    </fill>
    <fill>
      <patternFill patternType="solid">
        <fgColor rgb="FF111920"/>
        <bgColor rgb="FF0A1520"/>
      </patternFill>
    </fill>
    <fill>
      <patternFill patternType="solid">
        <fgColor rgb="FF0A1520"/>
        <bgColor rgb="FF0D131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E2D35"/>
      </bottom>
      <diagonal/>
    </border>
    <border diagonalUp="false" diagonalDown="false">
      <left/>
      <right/>
      <top/>
      <bottom style="thin">
        <color rgb="FF00B8D4"/>
      </bottom>
      <diagonal/>
    </border>
    <border diagonalUp="false" diagonalDown="false">
      <left/>
      <right/>
      <top/>
      <bottom style="thin">
        <color rgb="FFB91C1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4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8A9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DE8FF"/>
      <rgbColor rgb="FF99CC00"/>
      <rgbColor rgb="FFFFCC00"/>
      <rgbColor rgb="FFF59E0B"/>
      <rgbColor rgb="FFEF4444"/>
      <rgbColor rgb="FF666699"/>
      <rgbColor rgb="FF969696"/>
      <rgbColor rgb="FF0A1520"/>
      <rgbColor rgb="FF22C55E"/>
      <rgbColor rgb="FF111920"/>
      <rgbColor rgb="FF0D1318"/>
      <rgbColor rgb="FFB91C1C"/>
      <rgbColor rgb="FF993366"/>
      <rgbColor rgb="FF333399"/>
      <rgbColor rgb="FF1E2D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8" min="3" style="0" width="16"/>
    <col collapsed="false" customWidth="true" hidden="false" outlineLevel="0" max="9" min="9" style="0" width="2"/>
  </cols>
  <sheetData>
    <row r="1" customFormat="false" ht="7.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1"/>
      <c r="J1" s="1"/>
    </row>
    <row r="2" customFormat="false" ht="18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1"/>
      <c r="J2" s="1"/>
    </row>
    <row r="3" customFormat="false" ht="18" hidden="false" customHeight="true" outlineLevel="0" collapsed="false">
      <c r="A3" s="1"/>
      <c r="B3" s="4" t="s">
        <v>1</v>
      </c>
      <c r="C3" s="4"/>
      <c r="D3" s="4"/>
      <c r="E3" s="4"/>
      <c r="F3" s="4"/>
      <c r="G3" s="4"/>
      <c r="H3" s="4"/>
      <c r="I3" s="1"/>
      <c r="J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3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18" hidden="false" customHeight="true" outlineLevel="0" collapsed="false">
      <c r="A6" s="1"/>
      <c r="B6" s="5" t="s">
        <v>2</v>
      </c>
      <c r="C6" s="5"/>
      <c r="D6" s="5" t="s">
        <v>3</v>
      </c>
      <c r="E6" s="5"/>
      <c r="F6" s="5" t="s">
        <v>4</v>
      </c>
      <c r="G6" s="5"/>
      <c r="H6" s="1"/>
      <c r="I6" s="1"/>
      <c r="J6" s="1"/>
    </row>
    <row r="7" customFormat="false" ht="18" hidden="false" customHeight="true" outlineLevel="0" collapsed="false">
      <c r="A7" s="1"/>
      <c r="B7" s="6" t="n">
        <f aca="false">'📥 Entradas'!C2</f>
        <v>0</v>
      </c>
      <c r="C7" s="6"/>
      <c r="D7" s="7" t="n">
        <f aca="false">'📤 Saídas'!C2</f>
        <v>0</v>
      </c>
      <c r="E7" s="7"/>
      <c r="F7" s="8" t="n">
        <f aca="false">'📥 Entradas'!C2-'📤 Saídas'!C2</f>
        <v>0</v>
      </c>
      <c r="G7" s="8"/>
      <c r="H7" s="1"/>
      <c r="I7" s="1"/>
      <c r="J7" s="1"/>
    </row>
    <row r="8" customFormat="false" ht="18" hidden="false" customHeight="true" outlineLevel="0" collapsed="false">
      <c r="A8" s="1"/>
      <c r="B8" s="9" t="s">
        <v>5</v>
      </c>
      <c r="C8" s="9"/>
      <c r="D8" s="9" t="s">
        <v>5</v>
      </c>
      <c r="E8" s="9"/>
      <c r="F8" s="9" t="s">
        <v>5</v>
      </c>
      <c r="G8" s="9"/>
      <c r="H8" s="1"/>
      <c r="I8" s="1"/>
      <c r="J8" s="1"/>
    </row>
    <row r="9" customFormat="false" ht="7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8" hidden="false" customHeight="true" outlineLevel="0" collapsed="false">
      <c r="A10" s="1"/>
      <c r="B10" s="10" t="s">
        <v>6</v>
      </c>
      <c r="C10" s="10"/>
      <c r="D10" s="10"/>
      <c r="E10" s="10"/>
      <c r="F10" s="10"/>
      <c r="G10" s="10"/>
      <c r="H10" s="10"/>
      <c r="I10" s="1"/>
      <c r="J10" s="1"/>
    </row>
    <row r="11" customFormat="false" ht="18" hidden="false" customHeight="true" outlineLevel="0" collapsed="false">
      <c r="A11" s="1"/>
      <c r="B11" s="11" t="s">
        <v>7</v>
      </c>
      <c r="C11" s="11" t="s">
        <v>8</v>
      </c>
      <c r="D11" s="11" t="s">
        <v>9</v>
      </c>
      <c r="E11" s="11" t="s">
        <v>10</v>
      </c>
      <c r="F11" s="11" t="s">
        <v>11</v>
      </c>
      <c r="G11" s="1"/>
      <c r="H11" s="1"/>
      <c r="I11" s="1"/>
      <c r="J11" s="1"/>
    </row>
    <row r="12" customFormat="false" ht="18" hidden="false" customHeight="true" outlineLevel="0" collapsed="false">
      <c r="A12" s="1"/>
      <c r="B12" s="12" t="s">
        <v>12</v>
      </c>
      <c r="C12" s="13" t="s">
        <v>13</v>
      </c>
      <c r="D12" s="14" t="n">
        <v>0</v>
      </c>
      <c r="E12" s="15" t="str">
        <f aca="false">IF(D12=0,"-",TEXT(D12/SUM($D$12:$D$18),"0.0%"))</f>
        <v>-</v>
      </c>
      <c r="F12" s="16" t="n">
        <v>0</v>
      </c>
      <c r="G12" s="1"/>
      <c r="H12" s="1"/>
      <c r="I12" s="1"/>
      <c r="J12" s="1"/>
    </row>
    <row r="13" customFormat="false" ht="18" hidden="false" customHeight="true" outlineLevel="0" collapsed="false">
      <c r="A13" s="1"/>
      <c r="B13" s="17" t="s">
        <v>14</v>
      </c>
      <c r="C13" s="18" t="s">
        <v>15</v>
      </c>
      <c r="D13" s="19" t="n">
        <v>0</v>
      </c>
      <c r="E13" s="20" t="str">
        <f aca="false">IF(D13=0,"-",TEXT(D13/SUM($D$12:$D$18),"0.0%"))</f>
        <v>-</v>
      </c>
      <c r="F13" s="21" t="n">
        <v>0</v>
      </c>
      <c r="G13" s="1"/>
      <c r="H13" s="1"/>
      <c r="I13" s="1"/>
      <c r="J13" s="1"/>
    </row>
    <row r="14" customFormat="false" ht="18" hidden="false" customHeight="true" outlineLevel="0" collapsed="false">
      <c r="A14" s="1"/>
      <c r="B14" s="12" t="s">
        <v>16</v>
      </c>
      <c r="C14" s="22" t="s">
        <v>15</v>
      </c>
      <c r="D14" s="14" t="n">
        <v>0</v>
      </c>
      <c r="E14" s="15" t="str">
        <f aca="false">IF(D14=0,"-",TEXT(D14/SUM($D$12:$D$18),"0.0%"))</f>
        <v>-</v>
      </c>
      <c r="F14" s="16" t="n">
        <v>0</v>
      </c>
      <c r="G14" s="1"/>
      <c r="H14" s="1"/>
      <c r="I14" s="1"/>
      <c r="J14" s="1"/>
    </row>
    <row r="15" customFormat="false" ht="18" hidden="false" customHeight="true" outlineLevel="0" collapsed="false">
      <c r="A15" s="1"/>
      <c r="B15" s="17" t="s">
        <v>17</v>
      </c>
      <c r="C15" s="18" t="s">
        <v>15</v>
      </c>
      <c r="D15" s="19" t="n">
        <v>0</v>
      </c>
      <c r="E15" s="20" t="str">
        <f aca="false">IF(D15=0,"-",TEXT(D15/SUM($D$12:$D$18),"0.0%"))</f>
        <v>-</v>
      </c>
      <c r="F15" s="21" t="n">
        <v>0</v>
      </c>
      <c r="G15" s="1"/>
      <c r="H15" s="1"/>
      <c r="I15" s="1"/>
      <c r="J15" s="1"/>
    </row>
    <row r="16" customFormat="false" ht="18" hidden="false" customHeight="true" outlineLevel="0" collapsed="false">
      <c r="A16" s="1"/>
      <c r="B16" s="12" t="s">
        <v>18</v>
      </c>
      <c r="C16" s="22" t="s">
        <v>15</v>
      </c>
      <c r="D16" s="14" t="n">
        <v>0</v>
      </c>
      <c r="E16" s="15" t="str">
        <f aca="false">IF(D16=0,"-",TEXT(D16/SUM($D$12:$D$18),"0.0%"))</f>
        <v>-</v>
      </c>
      <c r="F16" s="16" t="n">
        <v>0</v>
      </c>
      <c r="G16" s="1"/>
      <c r="H16" s="1"/>
      <c r="I16" s="1"/>
      <c r="J16" s="1"/>
    </row>
    <row r="17" customFormat="false" ht="18" hidden="false" customHeight="true" outlineLevel="0" collapsed="false">
      <c r="A17" s="1"/>
      <c r="B17" s="17" t="s">
        <v>19</v>
      </c>
      <c r="C17" s="18" t="s">
        <v>15</v>
      </c>
      <c r="D17" s="19" t="n">
        <v>0</v>
      </c>
      <c r="E17" s="20" t="str">
        <f aca="false">IF(D17=0,"-",TEXT(D17/SUM($D$12:$D$18),"0.0%"))</f>
        <v>-</v>
      </c>
      <c r="F17" s="21" t="n">
        <v>0</v>
      </c>
      <c r="G17" s="1"/>
      <c r="H17" s="1"/>
      <c r="I17" s="1"/>
      <c r="J17" s="1"/>
    </row>
    <row r="18" customFormat="false" ht="18" hidden="false" customHeight="true" outlineLevel="0" collapsed="false">
      <c r="A18" s="1"/>
      <c r="B18" s="12" t="s">
        <v>20</v>
      </c>
      <c r="C18" s="16" t="s">
        <v>21</v>
      </c>
      <c r="D18" s="14" t="n">
        <v>0</v>
      </c>
      <c r="E18" s="15" t="str">
        <f aca="false">IF(D18=0,"-",TEXT(D18/SUM($D$12:$D$18),"0.0%"))</f>
        <v>-</v>
      </c>
      <c r="F18" s="16" t="n">
        <v>0</v>
      </c>
      <c r="G18" s="1"/>
      <c r="H18" s="1"/>
      <c r="I18" s="1"/>
      <c r="J18" s="1"/>
    </row>
    <row r="19" customFormat="false" ht="18" hidden="false" customHeight="true" outlineLevel="0" collapsed="false">
      <c r="A19" s="1"/>
      <c r="B19" s="10" t="s">
        <v>22</v>
      </c>
      <c r="C19" s="10"/>
      <c r="D19" s="23" t="n">
        <f aca="false">SUM(D12:D18)</f>
        <v>0</v>
      </c>
      <c r="E19" s="1"/>
      <c r="F19" s="24" t="n">
        <f aca="false">SUM(F12:F18)</f>
        <v>0</v>
      </c>
      <c r="G19" s="1"/>
      <c r="H19" s="1"/>
      <c r="I19" s="1"/>
      <c r="J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14">
    <mergeCell ref="B1:H1"/>
    <mergeCell ref="B2:H2"/>
    <mergeCell ref="B3:H3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H10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18" hidden="false" customHeight="true" outlineLevel="0" collapsed="false">
      <c r="A1" s="1"/>
      <c r="B1" s="25" t="s">
        <v>23</v>
      </c>
      <c r="C1" s="25"/>
      <c r="D1" s="25"/>
      <c r="E1" s="25"/>
      <c r="F1" s="25"/>
      <c r="G1" s="25"/>
      <c r="H1" s="25"/>
      <c r="I1" s="1"/>
      <c r="J1" s="1"/>
    </row>
    <row r="2" customFormat="false" ht="18" hidden="false" customHeight="true" outlineLevel="0" collapsed="false">
      <c r="A2" s="1"/>
      <c r="B2" s="26" t="n">
        <f aca="false">SUM(F5:F1000)</f>
        <v>17840</v>
      </c>
      <c r="C2" s="26"/>
      <c r="D2" s="26"/>
      <c r="E2" s="27" t="s">
        <v>24</v>
      </c>
      <c r="F2" s="27"/>
      <c r="G2" s="27"/>
      <c r="H2" s="27"/>
      <c r="I2" s="1"/>
      <c r="J2" s="1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8" hidden="false" customHeight="true" outlineLevel="0" collapsed="false">
      <c r="A4" s="1"/>
      <c r="B4" s="28" t="s">
        <v>25</v>
      </c>
      <c r="C4" s="28" t="s">
        <v>26</v>
      </c>
      <c r="D4" s="28" t="s">
        <v>27</v>
      </c>
      <c r="E4" s="28" t="s">
        <v>7</v>
      </c>
      <c r="F4" s="28" t="s">
        <v>9</v>
      </c>
      <c r="G4" s="28" t="s">
        <v>28</v>
      </c>
      <c r="H4" s="28" t="s">
        <v>29</v>
      </c>
      <c r="I4" s="1"/>
      <c r="J4" s="1"/>
    </row>
    <row r="5" customFormat="false" ht="18" hidden="false" customHeight="true" outlineLevel="0" collapsed="false">
      <c r="A5" s="1"/>
      <c r="B5" s="12" t="s">
        <v>30</v>
      </c>
      <c r="C5" s="12" t="s">
        <v>31</v>
      </c>
      <c r="D5" s="12" t="s">
        <v>32</v>
      </c>
      <c r="E5" s="12" t="s">
        <v>12</v>
      </c>
      <c r="F5" s="29" t="n">
        <v>2840</v>
      </c>
      <c r="G5" s="30" t="s">
        <v>33</v>
      </c>
      <c r="H5" s="12" t="s">
        <v>34</v>
      </c>
      <c r="I5" s="1"/>
      <c r="J5" s="1"/>
    </row>
    <row r="6" customFormat="false" ht="18" hidden="false" customHeight="true" outlineLevel="0" collapsed="false">
      <c r="A6" s="1"/>
      <c r="B6" s="17" t="s">
        <v>30</v>
      </c>
      <c r="C6" s="17" t="s">
        <v>35</v>
      </c>
      <c r="D6" s="17" t="s">
        <v>36</v>
      </c>
      <c r="E6" s="17" t="s">
        <v>12</v>
      </c>
      <c r="F6" s="31" t="n">
        <v>1200</v>
      </c>
      <c r="G6" s="32" t="s">
        <v>33</v>
      </c>
      <c r="H6" s="17" t="s">
        <v>34</v>
      </c>
      <c r="I6" s="1"/>
      <c r="J6" s="1"/>
    </row>
    <row r="7" customFormat="false" ht="18" hidden="false" customHeight="true" outlineLevel="0" collapsed="false">
      <c r="A7" s="1"/>
      <c r="B7" s="12" t="s">
        <v>37</v>
      </c>
      <c r="C7" s="12" t="s">
        <v>38</v>
      </c>
      <c r="D7" s="12" t="s">
        <v>39</v>
      </c>
      <c r="E7" s="12" t="s">
        <v>12</v>
      </c>
      <c r="F7" s="29" t="n">
        <v>480</v>
      </c>
      <c r="G7" s="30" t="s">
        <v>33</v>
      </c>
      <c r="H7" s="12" t="s">
        <v>34</v>
      </c>
      <c r="I7" s="1"/>
      <c r="J7" s="1"/>
    </row>
    <row r="8" customFormat="false" ht="18" hidden="false" customHeight="true" outlineLevel="0" collapsed="false">
      <c r="A8" s="1"/>
      <c r="B8" s="17" t="s">
        <v>40</v>
      </c>
      <c r="C8" s="17" t="s">
        <v>41</v>
      </c>
      <c r="D8" s="17" t="s">
        <v>42</v>
      </c>
      <c r="E8" s="17" t="s">
        <v>12</v>
      </c>
      <c r="F8" s="31" t="n">
        <v>3600</v>
      </c>
      <c r="G8" s="33" t="s">
        <v>43</v>
      </c>
      <c r="H8" s="17" t="s">
        <v>34</v>
      </c>
      <c r="I8" s="1"/>
      <c r="J8" s="1"/>
    </row>
    <row r="9" customFormat="false" ht="18" hidden="false" customHeight="true" outlineLevel="0" collapsed="false">
      <c r="A9" s="1"/>
      <c r="B9" s="12" t="s">
        <v>44</v>
      </c>
      <c r="C9" s="12" t="s">
        <v>45</v>
      </c>
      <c r="D9" s="12" t="s">
        <v>46</v>
      </c>
      <c r="E9" s="12" t="s">
        <v>12</v>
      </c>
      <c r="F9" s="29" t="n">
        <v>800</v>
      </c>
      <c r="G9" s="34" t="s">
        <v>43</v>
      </c>
      <c r="H9" s="12" t="s">
        <v>34</v>
      </c>
      <c r="I9" s="1"/>
      <c r="J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8" hidden="false" customHeight="true" outlineLevel="0" collapsed="false">
      <c r="A11" s="1"/>
      <c r="B11" s="35" t="s">
        <v>47</v>
      </c>
      <c r="C11" s="35"/>
      <c r="D11" s="35"/>
      <c r="E11" s="35"/>
      <c r="F11" s="36" t="n">
        <f aca="false">SUM(F5:F10)</f>
        <v>8920</v>
      </c>
      <c r="G11" s="1"/>
      <c r="H11" s="1"/>
      <c r="I11" s="1"/>
      <c r="J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8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8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8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8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8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8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8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8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8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8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8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8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8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8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8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8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8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8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8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8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8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8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8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8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8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8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8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8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8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8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8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8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8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8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8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8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8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8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8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8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8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8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8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8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8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8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8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8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8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8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8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8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8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8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8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8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8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8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8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8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8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8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8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8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8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8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8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8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8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8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8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8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8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8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8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8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8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8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8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8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4">
    <mergeCell ref="B1:H1"/>
    <mergeCell ref="B2:D2"/>
    <mergeCell ref="E2:H2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18" hidden="false" customHeight="true" outlineLevel="0" collapsed="false">
      <c r="A1" s="1"/>
      <c r="B1" s="37" t="s">
        <v>48</v>
      </c>
      <c r="C1" s="37"/>
      <c r="D1" s="37"/>
      <c r="E1" s="37"/>
      <c r="F1" s="37"/>
      <c r="G1" s="37"/>
      <c r="H1" s="37"/>
      <c r="I1" s="1"/>
      <c r="J1" s="1"/>
    </row>
    <row r="2" customFormat="false" ht="18" hidden="false" customHeight="true" outlineLevel="0" collapsed="false">
      <c r="A2" s="1"/>
      <c r="B2" s="38" t="n">
        <f aca="false">SUM(F5:F1000)</f>
        <v>2166.8</v>
      </c>
      <c r="C2" s="38"/>
      <c r="D2" s="27" t="s">
        <v>49</v>
      </c>
      <c r="E2" s="27"/>
      <c r="F2" s="27"/>
      <c r="G2" s="27"/>
      <c r="H2" s="27"/>
      <c r="I2" s="1"/>
      <c r="J2" s="1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8" hidden="false" customHeight="true" outlineLevel="0" collapsed="false">
      <c r="A4" s="1"/>
      <c r="B4" s="39" t="s">
        <v>25</v>
      </c>
      <c r="C4" s="39" t="s">
        <v>26</v>
      </c>
      <c r="D4" s="39" t="s">
        <v>50</v>
      </c>
      <c r="E4" s="39" t="s">
        <v>7</v>
      </c>
      <c r="F4" s="39" t="s">
        <v>9</v>
      </c>
      <c r="G4" s="39" t="s">
        <v>51</v>
      </c>
      <c r="H4" s="39" t="s">
        <v>29</v>
      </c>
      <c r="I4" s="39" t="s">
        <v>52</v>
      </c>
      <c r="J4" s="1"/>
    </row>
    <row r="5" customFormat="false" ht="18" hidden="false" customHeight="true" outlineLevel="0" collapsed="false">
      <c r="A5" s="1"/>
      <c r="B5" s="12" t="s">
        <v>30</v>
      </c>
      <c r="C5" s="12" t="s">
        <v>53</v>
      </c>
      <c r="D5" s="12" t="s">
        <v>39</v>
      </c>
      <c r="E5" s="12" t="s">
        <v>14</v>
      </c>
      <c r="F5" s="40" t="n">
        <v>386</v>
      </c>
      <c r="G5" s="12" t="s">
        <v>54</v>
      </c>
      <c r="H5" s="12" t="s">
        <v>34</v>
      </c>
      <c r="I5" s="1"/>
      <c r="J5" s="1"/>
    </row>
    <row r="6" customFormat="false" ht="18" hidden="false" customHeight="true" outlineLevel="0" collapsed="false">
      <c r="A6" s="1"/>
      <c r="B6" s="17" t="s">
        <v>30</v>
      </c>
      <c r="C6" s="17" t="s">
        <v>55</v>
      </c>
      <c r="D6" s="17" t="s">
        <v>32</v>
      </c>
      <c r="E6" s="17" t="s">
        <v>14</v>
      </c>
      <c r="F6" s="41" t="n">
        <v>89.5</v>
      </c>
      <c r="G6" s="17" t="s">
        <v>56</v>
      </c>
      <c r="H6" s="17" t="s">
        <v>34</v>
      </c>
      <c r="I6" s="1"/>
      <c r="J6" s="1"/>
    </row>
    <row r="7" customFormat="false" ht="18" hidden="false" customHeight="true" outlineLevel="0" collapsed="false">
      <c r="A7" s="1"/>
      <c r="B7" s="12" t="s">
        <v>37</v>
      </c>
      <c r="C7" s="12" t="s">
        <v>57</v>
      </c>
      <c r="D7" s="12" t="s">
        <v>36</v>
      </c>
      <c r="E7" s="12" t="s">
        <v>16</v>
      </c>
      <c r="F7" s="40" t="n">
        <v>320</v>
      </c>
      <c r="G7" s="12" t="s">
        <v>54</v>
      </c>
      <c r="H7" s="12" t="s">
        <v>34</v>
      </c>
      <c r="I7" s="1"/>
      <c r="J7" s="1"/>
    </row>
    <row r="8" customFormat="false" ht="18" hidden="false" customHeight="true" outlineLevel="0" collapsed="false">
      <c r="A8" s="1"/>
      <c r="B8" s="17" t="s">
        <v>37</v>
      </c>
      <c r="C8" s="17" t="s">
        <v>58</v>
      </c>
      <c r="D8" s="17" t="s">
        <v>59</v>
      </c>
      <c r="E8" s="17" t="s">
        <v>17</v>
      </c>
      <c r="F8" s="41" t="n">
        <v>150</v>
      </c>
      <c r="G8" s="17" t="s">
        <v>60</v>
      </c>
      <c r="H8" s="17" t="s">
        <v>34</v>
      </c>
      <c r="I8" s="1"/>
      <c r="J8" s="1"/>
    </row>
    <row r="9" customFormat="false" ht="18" hidden="false" customHeight="true" outlineLevel="0" collapsed="false">
      <c r="A9" s="1"/>
      <c r="B9" s="12" t="s">
        <v>40</v>
      </c>
      <c r="C9" s="12" t="s">
        <v>61</v>
      </c>
      <c r="D9" s="12" t="s">
        <v>21</v>
      </c>
      <c r="E9" s="12" t="s">
        <v>19</v>
      </c>
      <c r="F9" s="40" t="n">
        <v>75.9</v>
      </c>
      <c r="G9" s="12" t="s">
        <v>62</v>
      </c>
      <c r="H9" s="12" t="s">
        <v>34</v>
      </c>
      <c r="I9" s="1"/>
      <c r="J9" s="1"/>
    </row>
    <row r="10" customFormat="false" ht="18" hidden="false" customHeight="true" outlineLevel="0" collapsed="false">
      <c r="A10" s="1"/>
      <c r="B10" s="17" t="s">
        <v>44</v>
      </c>
      <c r="C10" s="17" t="s">
        <v>63</v>
      </c>
      <c r="D10" s="17" t="s">
        <v>59</v>
      </c>
      <c r="E10" s="17" t="s">
        <v>18</v>
      </c>
      <c r="F10" s="41" t="n">
        <v>62</v>
      </c>
      <c r="G10" s="17" t="s">
        <v>54</v>
      </c>
      <c r="H10" s="17" t="s">
        <v>34</v>
      </c>
      <c r="I10" s="1"/>
      <c r="J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8" hidden="false" customHeight="true" outlineLevel="0" collapsed="false">
      <c r="A12" s="1"/>
      <c r="B12" s="35" t="s">
        <v>47</v>
      </c>
      <c r="C12" s="35"/>
      <c r="D12" s="35"/>
      <c r="E12" s="35"/>
      <c r="F12" s="42" t="n">
        <f aca="false">SUM(F5:F11)</f>
        <v>1083.4</v>
      </c>
      <c r="G12" s="1"/>
      <c r="H12" s="1"/>
      <c r="I12" s="1"/>
      <c r="J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8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8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8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8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8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8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8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8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8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8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8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8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8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8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8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8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8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8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8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8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8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8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8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8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8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8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8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8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8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8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8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8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8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8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8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8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8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8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8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8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8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8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8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8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8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8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8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8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8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8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8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8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8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8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8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8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8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8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8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8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8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8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8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8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8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8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8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8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8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8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8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8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8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8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8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8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8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8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8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8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4">
    <mergeCell ref="B1:H1"/>
    <mergeCell ref="B2:C2"/>
    <mergeCell ref="D2:H2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2"/>
  </cols>
  <sheetData>
    <row r="1" customFormat="false" ht="18" hidden="false" customHeight="true" outlineLevel="0" collapsed="false">
      <c r="A1" s="1"/>
      <c r="B1" s="43" t="s">
        <v>64</v>
      </c>
      <c r="C1" s="43"/>
      <c r="D1" s="43"/>
      <c r="E1" s="4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8" hidden="false" customHeight="true" outlineLevel="0" collapsed="false">
      <c r="A3" s="1"/>
      <c r="B3" s="28" t="s">
        <v>65</v>
      </c>
      <c r="C3" s="28" t="s">
        <v>66</v>
      </c>
      <c r="D3" s="28" t="s">
        <v>67</v>
      </c>
      <c r="E3" s="28" t="s">
        <v>68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8" hidden="false" customHeight="true" outlineLevel="0" collapsed="false">
      <c r="A4" s="1"/>
      <c r="B4" s="44" t="s">
        <v>69</v>
      </c>
      <c r="C4" s="45" t="n">
        <v>8200</v>
      </c>
      <c r="D4" s="46" t="n">
        <v>3100</v>
      </c>
      <c r="E4" s="29" t="n">
        <f aca="false">C4-D4</f>
        <v>5100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8" hidden="false" customHeight="true" outlineLevel="0" collapsed="false">
      <c r="A5" s="1"/>
      <c r="B5" s="47" t="s">
        <v>70</v>
      </c>
      <c r="C5" s="48" t="n">
        <v>9400</v>
      </c>
      <c r="D5" s="49" t="n">
        <v>3800</v>
      </c>
      <c r="E5" s="31" t="n">
        <f aca="false">C5-D5</f>
        <v>5600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8" hidden="false" customHeight="true" outlineLevel="0" collapsed="false">
      <c r="A6" s="1"/>
      <c r="B6" s="44" t="s">
        <v>71</v>
      </c>
      <c r="C6" s="45" t="n">
        <v>8920</v>
      </c>
      <c r="D6" s="46" t="n">
        <v>4200</v>
      </c>
      <c r="E6" s="29" t="n">
        <f aca="false">C6-D6</f>
        <v>4720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8" hidden="false" customHeight="true" outlineLevel="0" collapsed="false">
      <c r="A7" s="1"/>
      <c r="B7" s="47" t="s">
        <v>72</v>
      </c>
      <c r="C7" s="48" t="n">
        <v>10300</v>
      </c>
      <c r="D7" s="49" t="n">
        <v>3900</v>
      </c>
      <c r="E7" s="31" t="n">
        <f aca="false">C7-D7</f>
        <v>6400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8" hidden="false" customHeight="true" outlineLevel="0" collapsed="false">
      <c r="A8" s="1"/>
      <c r="B8" s="44" t="s">
        <v>73</v>
      </c>
      <c r="C8" s="45" t="n">
        <v>11200</v>
      </c>
      <c r="D8" s="46" t="n">
        <v>4500</v>
      </c>
      <c r="E8" s="29" t="n">
        <f aca="false">C8-D8</f>
        <v>6700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8" hidden="false" customHeight="true" outlineLevel="0" collapsed="false">
      <c r="A9" s="1"/>
      <c r="B9" s="47" t="s">
        <v>74</v>
      </c>
      <c r="C9" s="48" t="n">
        <v>9800</v>
      </c>
      <c r="D9" s="49" t="n">
        <v>4100</v>
      </c>
      <c r="E9" s="31" t="n">
        <f aca="false">C9-D9</f>
        <v>5700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8" hidden="false" customHeight="true" outlineLevel="0" collapsed="false">
      <c r="A10" s="1"/>
      <c r="B10" s="44" t="s">
        <v>75</v>
      </c>
      <c r="C10" s="45" t="n">
        <v>10500</v>
      </c>
      <c r="D10" s="46" t="n">
        <v>4800</v>
      </c>
      <c r="E10" s="29" t="n">
        <f aca="false">C10-D10</f>
        <v>5700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8" hidden="false" customHeight="true" outlineLevel="0" collapsed="false">
      <c r="A11" s="1"/>
      <c r="B11" s="47" t="s">
        <v>76</v>
      </c>
      <c r="C11" s="48" t="n">
        <v>12000</v>
      </c>
      <c r="D11" s="49" t="n">
        <v>5200</v>
      </c>
      <c r="E11" s="31" t="n">
        <f aca="false">C11-D11</f>
        <v>6800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8" hidden="false" customHeight="true" outlineLevel="0" collapsed="false">
      <c r="A12" s="1"/>
      <c r="B12" s="44" t="s">
        <v>77</v>
      </c>
      <c r="C12" s="45" t="n">
        <v>11400</v>
      </c>
      <c r="D12" s="46" t="n">
        <v>4600</v>
      </c>
      <c r="E12" s="29" t="n">
        <f aca="false">C12-D12</f>
        <v>6800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8" hidden="false" customHeight="true" outlineLevel="0" collapsed="false">
      <c r="A13" s="1"/>
      <c r="B13" s="47" t="s">
        <v>78</v>
      </c>
      <c r="C13" s="48" t="n">
        <v>13200</v>
      </c>
      <c r="D13" s="49" t="n">
        <v>5800</v>
      </c>
      <c r="E13" s="31" t="n">
        <f aca="false">C13-D13</f>
        <v>7400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8" hidden="false" customHeight="true" outlineLevel="0" collapsed="false">
      <c r="A14" s="1"/>
      <c r="B14" s="44" t="s">
        <v>79</v>
      </c>
      <c r="C14" s="45" t="n">
        <v>10800</v>
      </c>
      <c r="D14" s="46" t="n">
        <v>4400</v>
      </c>
      <c r="E14" s="29" t="n">
        <f aca="false">C14-D14</f>
        <v>6400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8" hidden="false" customHeight="true" outlineLevel="0" collapsed="false">
      <c r="A15" s="1"/>
      <c r="B15" s="47" t="s">
        <v>80</v>
      </c>
      <c r="C15" s="48" t="n">
        <v>14500</v>
      </c>
      <c r="D15" s="49" t="n">
        <v>6200</v>
      </c>
      <c r="E15" s="31" t="n">
        <f aca="false">C15-D15</f>
        <v>8300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8" hidden="false" customHeight="true" outlineLevel="0" collapsed="false">
      <c r="A16" s="1"/>
      <c r="B16" s="24" t="s">
        <v>81</v>
      </c>
      <c r="C16" s="50" t="n">
        <f aca="false">SUM(C4:C15)</f>
        <v>130220</v>
      </c>
      <c r="D16" s="50" t="n">
        <f aca="false">SUM(D4:D15)</f>
        <v>54600</v>
      </c>
      <c r="E16" s="50" t="n">
        <f aca="false">SUM(E4:E15)</f>
        <v>75620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43" t="s">
        <v>82</v>
      </c>
      <c r="C1" s="43"/>
      <c r="D1" s="43"/>
      <c r="E1" s="43"/>
      <c r="F1" s="43"/>
      <c r="G1" s="43"/>
      <c r="H1" s="43"/>
      <c r="I1" s="43"/>
      <c r="J1" s="1"/>
      <c r="K1" s="1"/>
      <c r="L1" s="1"/>
    </row>
    <row r="2" customFormat="false" ht="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A3" s="1"/>
      <c r="B3" s="28" t="s">
        <v>83</v>
      </c>
      <c r="C3" s="28" t="s">
        <v>84</v>
      </c>
      <c r="D3" s="28" t="s">
        <v>26</v>
      </c>
      <c r="E3" s="28" t="s">
        <v>8</v>
      </c>
      <c r="F3" s="28" t="s">
        <v>85</v>
      </c>
      <c r="G3" s="28" t="s">
        <v>86</v>
      </c>
      <c r="H3" s="28" t="s">
        <v>87</v>
      </c>
      <c r="I3" s="28" t="s">
        <v>88</v>
      </c>
      <c r="J3" s="28" t="s">
        <v>28</v>
      </c>
      <c r="K3" s="1"/>
      <c r="L3" s="1"/>
    </row>
    <row r="4" customFormat="false" ht="18" hidden="false" customHeight="true" outlineLevel="0" collapsed="false">
      <c r="A4" s="1"/>
      <c r="B4" s="44" t="s">
        <v>89</v>
      </c>
      <c r="C4" s="12" t="s">
        <v>32</v>
      </c>
      <c r="D4" s="12" t="s">
        <v>90</v>
      </c>
      <c r="E4" s="12" t="s">
        <v>91</v>
      </c>
      <c r="F4" s="29" t="n">
        <v>2840</v>
      </c>
      <c r="G4" s="46" t="n">
        <v>386</v>
      </c>
      <c r="H4" s="51" t="n">
        <f aca="false">F4-G4</f>
        <v>2454</v>
      </c>
      <c r="I4" s="15" t="str">
        <f aca="false">IF(F4=0,"-",TEXT((F4-G4)/F4,"0.0%"))</f>
        <v>86.4%</v>
      </c>
      <c r="J4" s="52" t="s">
        <v>92</v>
      </c>
      <c r="K4" s="1"/>
      <c r="L4" s="1"/>
    </row>
    <row r="5" customFormat="false" ht="18" hidden="false" customHeight="true" outlineLevel="0" collapsed="false">
      <c r="A5" s="1"/>
      <c r="B5" s="47" t="s">
        <v>93</v>
      </c>
      <c r="C5" s="17" t="s">
        <v>36</v>
      </c>
      <c r="D5" s="17" t="s">
        <v>94</v>
      </c>
      <c r="E5" s="17" t="s">
        <v>95</v>
      </c>
      <c r="F5" s="31" t="n">
        <v>1200</v>
      </c>
      <c r="G5" s="49" t="n">
        <v>89.5</v>
      </c>
      <c r="H5" s="53" t="n">
        <f aca="false">F5-G5</f>
        <v>1110.5</v>
      </c>
      <c r="I5" s="20" t="str">
        <f aca="false">IF(F5=0,"-",TEXT((F5-G5)/F5,"0.0%"))</f>
        <v>92.5%</v>
      </c>
      <c r="J5" s="54" t="s">
        <v>92</v>
      </c>
      <c r="K5" s="1"/>
      <c r="L5" s="1"/>
    </row>
    <row r="6" customFormat="false" ht="18" hidden="false" customHeight="true" outlineLevel="0" collapsed="false">
      <c r="A6" s="1"/>
      <c r="B6" s="44" t="s">
        <v>96</v>
      </c>
      <c r="C6" s="12" t="s">
        <v>39</v>
      </c>
      <c r="D6" s="12" t="s">
        <v>97</v>
      </c>
      <c r="E6" s="12" t="s">
        <v>98</v>
      </c>
      <c r="F6" s="29" t="n">
        <v>480</v>
      </c>
      <c r="G6" s="46" t="n">
        <v>150</v>
      </c>
      <c r="H6" s="51" t="n">
        <f aca="false">F6-G6</f>
        <v>330</v>
      </c>
      <c r="I6" s="15" t="str">
        <f aca="false">IF(F6=0,"-",TEXT((F6-G6)/F6,"0.0%"))</f>
        <v>68.8%</v>
      </c>
      <c r="J6" s="52" t="s">
        <v>92</v>
      </c>
      <c r="K6" s="1"/>
      <c r="L6" s="1"/>
    </row>
    <row r="7" customFormat="false" ht="18" hidden="false" customHeight="true" outlineLevel="0" collapsed="false">
      <c r="A7" s="1"/>
      <c r="B7" s="47" t="s">
        <v>99</v>
      </c>
      <c r="C7" s="17" t="s">
        <v>42</v>
      </c>
      <c r="D7" s="17" t="s">
        <v>100</v>
      </c>
      <c r="E7" s="17" t="s">
        <v>91</v>
      </c>
      <c r="F7" s="31" t="n">
        <v>3600</v>
      </c>
      <c r="G7" s="49" t="n">
        <v>320</v>
      </c>
      <c r="H7" s="53" t="n">
        <f aca="false">F7-G7</f>
        <v>3280</v>
      </c>
      <c r="I7" s="20" t="str">
        <f aca="false">IF(F7=0,"-",TEXT((F7-G7)/F7,"0.0%"))</f>
        <v>91.1%</v>
      </c>
      <c r="J7" s="55" t="s">
        <v>101</v>
      </c>
      <c r="K7" s="1"/>
      <c r="L7" s="1"/>
    </row>
    <row r="8" customFormat="false" ht="18" hidden="false" customHeight="true" outlineLevel="0" collapsed="false">
      <c r="A8" s="1"/>
      <c r="B8" s="44" t="s">
        <v>102</v>
      </c>
      <c r="C8" s="12" t="s">
        <v>46</v>
      </c>
      <c r="D8" s="12" t="s">
        <v>103</v>
      </c>
      <c r="E8" s="12" t="s">
        <v>104</v>
      </c>
      <c r="F8" s="29" t="n">
        <v>800</v>
      </c>
      <c r="G8" s="46" t="n">
        <v>62</v>
      </c>
      <c r="H8" s="51" t="n">
        <f aca="false">F8-G8</f>
        <v>738</v>
      </c>
      <c r="I8" s="15" t="str">
        <f aca="false">IF(F8=0,"-",TEXT((F8-G8)/F8,"0.0%"))</f>
        <v>92.3%</v>
      </c>
      <c r="J8" s="56" t="s">
        <v>105</v>
      </c>
      <c r="K8" s="1"/>
      <c r="L8" s="1"/>
    </row>
    <row r="9" customFormat="false" ht="18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2026-03-11T00:47:13Z</dcterms:created>
  <dc:creator>openpyxl</dc:creator>
  <dc:description/>
  <dc:language>en-US</dc:language>
  <cp:lastModifiedBy/>
  <dcterms:modified xsi:type="dcterms:W3CDTF">2026-03-11T00:47:14Z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